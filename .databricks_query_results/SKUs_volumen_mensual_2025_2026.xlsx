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2fec24d189d7ce4/Claudio/.databricks_query_results/"/>
    </mc:Choice>
  </mc:AlternateContent>
  <xr:revisionPtr revIDLastSave="103" documentId="11_2E848C57527AD1DC8E8AC88220CB3AC8BC44FCA6" xr6:coauthVersionLast="47" xr6:coauthVersionMax="47" xr10:uidLastSave="{32AF6ABA-4010-4D75-BD9B-B7B555B25170}"/>
  <bookViews>
    <workbookView xWindow="-96" yWindow="-96" windowWidth="23232" windowHeight="13872" xr2:uid="{00000000-000D-0000-FFFF-FFFF00000000}"/>
  </bookViews>
  <sheets>
    <sheet name="Hoja1" sheetId="5" r:id="rId1"/>
    <sheet name="Cristal 650" sheetId="1" r:id="rId2"/>
    <sheet name="Pilsen Callao 630" sheetId="2" r:id="rId3"/>
    <sheet name="San Juan 620" sheetId="3" r:id="rId4"/>
    <sheet name="Cusqueña 620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5" l="1"/>
  <c r="I44" i="5"/>
  <c r="H44" i="5"/>
  <c r="G44" i="5"/>
  <c r="F44" i="5"/>
  <c r="E44" i="5"/>
  <c r="D44" i="5"/>
  <c r="C44" i="5"/>
  <c r="J43" i="5"/>
  <c r="I43" i="5"/>
  <c r="H43" i="5"/>
  <c r="G43" i="5"/>
  <c r="F43" i="5"/>
  <c r="E43" i="5"/>
  <c r="D43" i="5"/>
  <c r="C43" i="5"/>
  <c r="J35" i="5"/>
  <c r="I35" i="5"/>
  <c r="H35" i="5"/>
  <c r="G35" i="5"/>
  <c r="F35" i="5"/>
  <c r="E35" i="5"/>
  <c r="D35" i="5"/>
  <c r="C35" i="5"/>
  <c r="J34" i="5"/>
  <c r="I34" i="5"/>
  <c r="H34" i="5"/>
  <c r="G34" i="5"/>
  <c r="F34" i="5"/>
  <c r="E34" i="5"/>
  <c r="D34" i="5"/>
  <c r="C34" i="5"/>
  <c r="J26" i="5"/>
  <c r="I26" i="5"/>
  <c r="H26" i="5"/>
  <c r="G26" i="5"/>
  <c r="F26" i="5"/>
  <c r="E26" i="5"/>
  <c r="D26" i="5"/>
  <c r="C26" i="5"/>
  <c r="J25" i="5"/>
  <c r="I25" i="5"/>
  <c r="H25" i="5"/>
  <c r="G25" i="5"/>
  <c r="F25" i="5"/>
  <c r="E25" i="5"/>
  <c r="D25" i="5"/>
  <c r="C25" i="5"/>
  <c r="J16" i="5"/>
  <c r="I16" i="5"/>
  <c r="H16" i="5"/>
  <c r="G16" i="5"/>
  <c r="F16" i="5"/>
  <c r="E16" i="5"/>
  <c r="D16" i="5"/>
  <c r="C16" i="5"/>
  <c r="J17" i="5"/>
  <c r="G17" i="5"/>
  <c r="E17" i="5"/>
  <c r="K33" i="5"/>
  <c r="O33" i="5" s="1"/>
  <c r="O41" i="5"/>
  <c r="O23" i="5"/>
  <c r="O14" i="5"/>
  <c r="O32" i="5"/>
  <c r="G5" i="5"/>
  <c r="G6" i="5"/>
  <c r="G7" i="5"/>
  <c r="G4" i="5"/>
  <c r="H17" i="5" s="1"/>
  <c r="D5" i="5"/>
  <c r="D6" i="5"/>
  <c r="D7" i="5"/>
  <c r="K42" i="5" s="1"/>
  <c r="K44" i="5" s="1"/>
  <c r="D4" i="5"/>
  <c r="N7" i="4"/>
  <c r="M7" i="4"/>
  <c r="L7" i="4"/>
  <c r="K7" i="4"/>
  <c r="J7" i="4"/>
  <c r="I7" i="4"/>
  <c r="H7" i="4"/>
  <c r="G7" i="4"/>
  <c r="F7" i="4"/>
  <c r="E7" i="4"/>
  <c r="D7" i="4"/>
  <c r="C7" i="4"/>
  <c r="B7" i="4"/>
  <c r="N6" i="4"/>
  <c r="N5" i="4"/>
  <c r="N7" i="3"/>
  <c r="M7" i="3"/>
  <c r="L7" i="3"/>
  <c r="K7" i="3"/>
  <c r="J7" i="3"/>
  <c r="I7" i="3"/>
  <c r="H7" i="3"/>
  <c r="G7" i="3"/>
  <c r="F7" i="3"/>
  <c r="E7" i="3"/>
  <c r="D7" i="3"/>
  <c r="C7" i="3"/>
  <c r="B7" i="3"/>
  <c r="N6" i="3"/>
  <c r="N5" i="3"/>
  <c r="M7" i="2"/>
  <c r="L7" i="2"/>
  <c r="K7" i="2"/>
  <c r="J7" i="2"/>
  <c r="I7" i="2"/>
  <c r="H7" i="2"/>
  <c r="G7" i="2"/>
  <c r="F7" i="2"/>
  <c r="E7" i="2"/>
  <c r="D7" i="2"/>
  <c r="C7" i="2"/>
  <c r="B7" i="2"/>
  <c r="N6" i="2"/>
  <c r="N5" i="2"/>
  <c r="N7" i="2" s="1"/>
  <c r="N7" i="1"/>
  <c r="M7" i="1"/>
  <c r="L7" i="1"/>
  <c r="K7" i="1"/>
  <c r="J7" i="1"/>
  <c r="I7" i="1"/>
  <c r="H7" i="1"/>
  <c r="G7" i="1"/>
  <c r="F7" i="1"/>
  <c r="E7" i="1"/>
  <c r="D7" i="1"/>
  <c r="C7" i="1"/>
  <c r="B7" i="1"/>
  <c r="N6" i="1"/>
  <c r="N5" i="1"/>
  <c r="C17" i="5" l="1"/>
  <c r="D17" i="5"/>
  <c r="H6" i="5"/>
  <c r="H5" i="5"/>
  <c r="K35" i="5"/>
  <c r="F17" i="5"/>
  <c r="I17" i="5"/>
  <c r="H4" i="5"/>
  <c r="K43" i="5"/>
  <c r="O42" i="5"/>
  <c r="K24" i="5"/>
  <c r="H7" i="5"/>
  <c r="K15" i="5"/>
  <c r="K17" i="5" s="1"/>
  <c r="K34" i="5"/>
  <c r="K25" i="5" l="1"/>
  <c r="K26" i="5"/>
  <c r="O24" i="5"/>
  <c r="K16" i="5"/>
  <c r="O15" i="5"/>
</calcChain>
</file>

<file path=xl/sharedStrings.xml><?xml version="1.0" encoding="utf-8"?>
<sst xmlns="http://schemas.openxmlformats.org/spreadsheetml/2006/main" count="144" uniqueCount="30">
  <si>
    <t>Cristal 650 — Volumen (HL) por mes</t>
  </si>
  <si>
    <t>Dirección Centro Oriente · Backus · Fuente: dm_venta, indicadores_comerciales = 1</t>
  </si>
  <si>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</si>
  <si>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</si>
  <si>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</si>
  <si>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</si>
  <si>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</si>
  <si>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</si>
  <si>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</si>
  <si>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</si>
  <si>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</si>
  <si>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</si>
  <si>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</si>
  <si>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</si>
  <si>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</si>
  <si>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</si>
  <si>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Pilsen Callao 630 — Volumen (HL) por mes</t>
  </si>
  <si>
    <t>Sep-Dic 2026 en blanco: aún no ocurren (dato al corte 01-sep-2026). Agrupa 2 códigos SAP del mismo producto (distinta planta de origen).</t>
  </si>
  <si>
    <t>San Juan 620 — Volumen (HL) por mes</t>
  </si>
  <si>
    <t>Cusqueña 620 — Volumen (HL) por mes</t>
  </si>
  <si>
    <t>Sep-Dic 2026 en blanco: aún no ocurren (dato al corte 01-sep-2026). Agrupa las variantes Trigo, Malta/Negra y Dorada del formato 620ml.</t>
  </si>
  <si>
    <t>P.Callao 630 RB</t>
  </si>
  <si>
    <t>San Juan 620 RB</t>
  </si>
  <si>
    <t>Cristal 650 RB</t>
  </si>
  <si>
    <t>Cusqueña 620 RB</t>
  </si>
  <si>
    <t>hl</t>
  </si>
  <si>
    <t>mix</t>
  </si>
  <si>
    <t>cuota</t>
  </si>
  <si>
    <t>cf</t>
  </si>
  <si>
    <t>hl x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</si>
</sst>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;\(#,##0\);&quot;—&quot;"/>
    <numFmt numFmtId="166" formatCode="_-* #,##0_-;\-* #,##0_-;_-* &quot;-&quot;??_-;_-@_-"/>
    <numFmt numFmtId="167" formatCode="0.0%"/>
  </numFmts>
  <fonts count="8" x14ac:knownFonts="1">
    <font>
      <sz val="11"/>
      <color theme="1"/>
      <name val="Calibri"/>
      <family val="2"/>
      <scheme val="minor"/>
    </font>
    <font>
      <b/>
      <sz val="13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8"/>
      <color rgb="FF80808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F72"/>
      </patternFill>
    </fill>
    <fill>
      <patternFill patternType="solid">
        <fgColor rgb="FFEDF1EB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rgb="FFCFD0C6"/>
      </left>
      <right style="thin">
        <color rgb="FFCFD0C6"/>
      </right>
      <top style="thin">
        <color rgb="FFCFD0C6"/>
      </top>
      <bottom style="thin">
        <color rgb="FFCFD0C6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2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0" borderId="0" xfId="0" applyFont="1"/>
    <xf numFmtId="164" fontId="5" fillId="0" borderId="1" xfId="0" applyNumberFormat="1" applyFont="1" applyBorder="1"/>
    <xf numFmtId="164" fontId="4" fillId="3" borderId="0" xfId="0" applyNumberFormat="1" applyFont="1" applyFill="1"/>
    <xf numFmtId="164" fontId="0" fillId="0" borderId="1" xfId="0" applyNumberFormat="1" applyBorder="1"/>
    <xf numFmtId="0" fontId="4" fillId="3" borderId="0" xfId="0" applyFont="1" applyFill="1"/>
    <xf numFmtId="164" fontId="4" fillId="3" borderId="1" xfId="0" applyNumberFormat="1" applyFont="1" applyFill="1" applyBorder="1"/>
    <xf numFmtId="0" fontId="6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6" fillId="0" borderId="0" xfId="0" applyFont="1" applyAlignment="1"/>
    <xf numFmtId="0" fontId="0" fillId="0" borderId="0" xfId="0" applyAlignment="1"/>
    <xf numFmtId="0" fontId="0" fillId="0" borderId="2" xfId="0" applyBorder="1"/>
    <xf numFmtId="9" fontId="0" fillId="0" borderId="0" xfId="0" applyNumberFormat="1"/>
    <xf numFmtId="166" fontId="0" fillId="0" borderId="0" xfId="1" applyNumberFormat="1" applyFont="1"/>
    <xf numFmtId="0" fontId="0" fillId="0" borderId="0" xfId="0" applyAlignment="1">
      <alignment horizontal="center"/>
    </xf>
    <xf numFmtId="164" fontId="0" fillId="4" borderId="1" xfId="0" applyNumberFormat="1" applyFill="1" applyBorder="1"/>
    <xf numFmtId="167" fontId="0" fillId="0" borderId="0" xfId="2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C8A3-756E-4682-B596-46C529FE22AF}">
  <dimension ref="A2:O44"/>
  <sheetViews>
    <sheetView showGridLines="0" tabSelected="1" workbookViewId="0">
      <selection activeCell="B2" sqref="B2"/>
    </sheetView>
  </sheetViews>
  <sheetFormatPr baseColWidth="10" defaultRowHeight="14.4" x14ac:dyDescent="0.55000000000000004"/>
  <cols>
    <col min="2" max="2" width="14.3125" bestFit="1" customWidth="1"/>
    <col min="5" max="6" width="0" hidden="1" customWidth="1"/>
    <col min="8" max="8" width="12.26171875" bestFit="1" customWidth="1"/>
  </cols>
  <sheetData>
    <row r="2" spans="1:15" x14ac:dyDescent="0.55000000000000004">
      <c r="A2" t="s">
        <v>27</v>
      </c>
      <c r="B2" s="17">
        <v>255000</v>
      </c>
    </row>
    <row r="3" spans="1:15" x14ac:dyDescent="0.55000000000000004">
      <c r="C3" s="18" t="s">
        <v>26</v>
      </c>
      <c r="D3" s="18" t="s">
        <v>25</v>
      </c>
      <c r="E3" s="18"/>
      <c r="F3" s="18"/>
      <c r="G3" s="18" t="s">
        <v>29</v>
      </c>
      <c r="H3" s="18" t="s">
        <v>28</v>
      </c>
    </row>
    <row r="4" spans="1:15" x14ac:dyDescent="0.55000000000000004">
      <c r="B4" s="15" t="s">
        <v>21</v>
      </c>
      <c r="C4" s="16">
        <v>0.4</v>
      </c>
      <c r="D4" s="17">
        <f>+C4*$B$2</f>
        <v>102000</v>
      </c>
      <c r="E4">
        <v>630</v>
      </c>
      <c r="F4">
        <v>12</v>
      </c>
      <c r="G4">
        <f>+E4*F4/100000</f>
        <v>7.5600000000000001E-2</v>
      </c>
      <c r="H4" s="17">
        <f>+D4/G4</f>
        <v>1349206.3492063491</v>
      </c>
    </row>
    <row r="5" spans="1:15" x14ac:dyDescent="0.55000000000000004">
      <c r="B5" s="15" t="s">
        <v>22</v>
      </c>
      <c r="C5" s="16">
        <v>0.21</v>
      </c>
      <c r="D5" s="17">
        <f>+C5*$B$2</f>
        <v>53550</v>
      </c>
      <c r="E5">
        <v>620</v>
      </c>
      <c r="F5">
        <v>12</v>
      </c>
      <c r="G5">
        <f t="shared" ref="G5:G7" si="0">+E5*F5/100000</f>
        <v>7.4399999999999994E-2</v>
      </c>
      <c r="H5" s="17">
        <f t="shared" ref="H5:H7" si="1">+D5/G5</f>
        <v>719758.06451612909</v>
      </c>
    </row>
    <row r="6" spans="1:15" x14ac:dyDescent="0.55000000000000004">
      <c r="B6" s="15" t="s">
        <v>23</v>
      </c>
      <c r="C6" s="16">
        <v>0.18</v>
      </c>
      <c r="D6" s="17">
        <f>+C6*$B$2</f>
        <v>45900</v>
      </c>
      <c r="E6">
        <v>650</v>
      </c>
      <c r="F6">
        <v>12</v>
      </c>
      <c r="G6">
        <f t="shared" si="0"/>
        <v>7.8E-2</v>
      </c>
      <c r="H6" s="17">
        <f t="shared" si="1"/>
        <v>588461.5384615385</v>
      </c>
    </row>
    <row r="7" spans="1:15" x14ac:dyDescent="0.55000000000000004">
      <c r="B7" s="15" t="s">
        <v>24</v>
      </c>
      <c r="C7" s="16">
        <v>7.0000000000000007E-2</v>
      </c>
      <c r="D7" s="17">
        <f>+C7*$B$2</f>
        <v>17850</v>
      </c>
      <c r="E7">
        <v>620</v>
      </c>
      <c r="F7">
        <v>12</v>
      </c>
      <c r="G7">
        <f t="shared" si="0"/>
        <v>7.4399999999999994E-2</v>
      </c>
      <c r="H7" s="17">
        <f t="shared" si="1"/>
        <v>239919.3548387097</v>
      </c>
    </row>
    <row r="10" spans="1:15" ht="16.5" x14ac:dyDescent="0.6">
      <c r="B10" s="12" t="s">
        <v>16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55000000000000004">
      <c r="B11" s="11" t="s">
        <v>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3" spans="1:15" x14ac:dyDescent="0.55000000000000004">
      <c r="B13" s="1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7</v>
      </c>
      <c r="H13" s="2" t="s">
        <v>8</v>
      </c>
      <c r="I13" s="2" t="s">
        <v>9</v>
      </c>
      <c r="J13" s="2" t="s">
        <v>10</v>
      </c>
      <c r="K13" s="2" t="s">
        <v>11</v>
      </c>
      <c r="L13" s="2" t="s">
        <v>12</v>
      </c>
      <c r="M13" s="2" t="s">
        <v>13</v>
      </c>
      <c r="N13" s="2" t="s">
        <v>14</v>
      </c>
      <c r="O13" s="2" t="s">
        <v>15</v>
      </c>
    </row>
    <row r="14" spans="1:15" x14ac:dyDescent="0.55000000000000004">
      <c r="B14" s="21">
        <v>2025</v>
      </c>
      <c r="C14" s="4">
        <v>60390</v>
      </c>
      <c r="D14" s="4">
        <v>55814</v>
      </c>
      <c r="E14" s="4">
        <v>53601</v>
      </c>
      <c r="F14" s="4">
        <v>51105</v>
      </c>
      <c r="G14" s="4">
        <v>73890</v>
      </c>
      <c r="H14" s="4">
        <v>76598</v>
      </c>
      <c r="I14" s="4">
        <v>90518</v>
      </c>
      <c r="J14" s="4">
        <v>95938</v>
      </c>
      <c r="K14" s="4">
        <v>87981</v>
      </c>
      <c r="L14" s="4">
        <v>81206</v>
      </c>
      <c r="M14" s="4">
        <v>81088</v>
      </c>
      <c r="N14" s="4">
        <v>109172</v>
      </c>
      <c r="O14" s="5">
        <f>SUM(C14:N14)</f>
        <v>917301</v>
      </c>
    </row>
    <row r="15" spans="1:15" x14ac:dyDescent="0.55000000000000004">
      <c r="B15" s="21">
        <v>2026</v>
      </c>
      <c r="C15" s="4">
        <v>85119</v>
      </c>
      <c r="D15" s="4">
        <v>80566</v>
      </c>
      <c r="E15" s="4">
        <v>81657</v>
      </c>
      <c r="F15" s="4">
        <v>74209</v>
      </c>
      <c r="G15" s="4">
        <v>92605</v>
      </c>
      <c r="H15" s="4">
        <v>94773</v>
      </c>
      <c r="I15" s="4">
        <v>119624</v>
      </c>
      <c r="J15" s="4">
        <v>97604</v>
      </c>
      <c r="K15" s="19">
        <f>+D4</f>
        <v>102000</v>
      </c>
      <c r="L15" s="6"/>
      <c r="M15" s="6"/>
      <c r="N15" s="6"/>
      <c r="O15" s="5">
        <f>SUM(C15:N15)</f>
        <v>828157</v>
      </c>
    </row>
    <row r="16" spans="1:15" x14ac:dyDescent="0.55000000000000004">
      <c r="C16" s="20">
        <f t="shared" ref="C16:J16" si="2">+C15/C14-1</f>
        <v>0.40948832588176853</v>
      </c>
      <c r="D16" s="20">
        <f t="shared" si="2"/>
        <v>0.44347296377253009</v>
      </c>
      <c r="E16" s="20">
        <f t="shared" si="2"/>
        <v>0.52342307046510328</v>
      </c>
      <c r="F16" s="20">
        <f t="shared" si="2"/>
        <v>0.45208883670873701</v>
      </c>
      <c r="G16" s="20">
        <f t="shared" si="2"/>
        <v>0.25328190553525509</v>
      </c>
      <c r="H16" s="20">
        <f t="shared" si="2"/>
        <v>0.2372777357111151</v>
      </c>
      <c r="I16" s="20">
        <f t="shared" si="2"/>
        <v>0.32154930511058577</v>
      </c>
      <c r="J16" s="20">
        <f t="shared" si="2"/>
        <v>1.736538180908509E-2</v>
      </c>
      <c r="K16" s="20">
        <f>+K15/K14-1</f>
        <v>0.15934122140007512</v>
      </c>
    </row>
    <row r="17" spans="2:15" x14ac:dyDescent="0.55000000000000004">
      <c r="C17" s="17">
        <f t="shared" ref="C17:K17" si="3">+C15/$G$4</f>
        <v>1125912.6984126985</v>
      </c>
      <c r="D17" s="17">
        <f t="shared" si="3"/>
        <v>1065687.8306878307</v>
      </c>
      <c r="E17" s="17">
        <f t="shared" si="3"/>
        <v>1080119.0476190476</v>
      </c>
      <c r="F17" s="17">
        <f t="shared" si="3"/>
        <v>981600.52910052915</v>
      </c>
      <c r="G17" s="17">
        <f t="shared" si="3"/>
        <v>1224933.8624338624</v>
      </c>
      <c r="H17" s="17">
        <f t="shared" si="3"/>
        <v>1253611.111111111</v>
      </c>
      <c r="I17" s="17">
        <f t="shared" si="3"/>
        <v>1582328.0423280422</v>
      </c>
      <c r="J17" s="17">
        <f t="shared" si="3"/>
        <v>1291058.201058201</v>
      </c>
      <c r="K17" s="17">
        <f>+K15/$G$4</f>
        <v>1349206.3492063491</v>
      </c>
    </row>
    <row r="18" spans="2:15" x14ac:dyDescent="0.55000000000000004">
      <c r="C18" s="17"/>
      <c r="D18" s="17"/>
      <c r="E18" s="17"/>
      <c r="F18" s="17"/>
      <c r="G18" s="17"/>
      <c r="H18" s="17"/>
      <c r="I18" s="17"/>
      <c r="J18" s="17"/>
      <c r="K18" s="17"/>
    </row>
    <row r="19" spans="2:15" ht="16.5" x14ac:dyDescent="0.6">
      <c r="B19" s="12" t="s">
        <v>18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2:15" x14ac:dyDescent="0.55000000000000004">
      <c r="B20" s="11" t="s">
        <v>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2" spans="2:15" x14ac:dyDescent="0.55000000000000004">
      <c r="B22" s="1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2" t="s">
        <v>8</v>
      </c>
      <c r="I22" s="2" t="s">
        <v>9</v>
      </c>
      <c r="J22" s="2" t="s">
        <v>10</v>
      </c>
      <c r="K22" s="2" t="s">
        <v>11</v>
      </c>
      <c r="L22" s="2" t="s">
        <v>12</v>
      </c>
      <c r="M22" s="2" t="s">
        <v>13</v>
      </c>
      <c r="N22" s="2" t="s">
        <v>14</v>
      </c>
      <c r="O22" s="2" t="s">
        <v>15</v>
      </c>
    </row>
    <row r="23" spans="2:15" x14ac:dyDescent="0.55000000000000004">
      <c r="B23" s="21">
        <v>2025</v>
      </c>
      <c r="C23" s="4">
        <v>47129</v>
      </c>
      <c r="D23" s="4">
        <v>48306</v>
      </c>
      <c r="E23" s="4">
        <v>47930</v>
      </c>
      <c r="F23" s="4">
        <v>53406</v>
      </c>
      <c r="G23" s="4">
        <v>46065</v>
      </c>
      <c r="H23" s="4">
        <v>53126</v>
      </c>
      <c r="I23" s="4">
        <v>49569</v>
      </c>
      <c r="J23" s="4">
        <v>52788</v>
      </c>
      <c r="K23" s="4">
        <v>51787</v>
      </c>
      <c r="L23" s="4">
        <v>54733</v>
      </c>
      <c r="M23" s="4">
        <v>50713</v>
      </c>
      <c r="N23" s="4">
        <v>69193</v>
      </c>
      <c r="O23" s="5">
        <f>SUM(C23:N23)</f>
        <v>624745</v>
      </c>
    </row>
    <row r="24" spans="2:15" x14ac:dyDescent="0.55000000000000004">
      <c r="B24" s="21">
        <v>2026</v>
      </c>
      <c r="C24" s="4">
        <v>51507</v>
      </c>
      <c r="D24" s="4">
        <v>47540</v>
      </c>
      <c r="E24" s="4">
        <v>48000</v>
      </c>
      <c r="F24" s="4">
        <v>49994</v>
      </c>
      <c r="G24" s="4">
        <v>41825</v>
      </c>
      <c r="H24" s="4">
        <v>49407</v>
      </c>
      <c r="I24" s="4">
        <v>46147</v>
      </c>
      <c r="J24" s="4">
        <v>49637</v>
      </c>
      <c r="K24" s="19">
        <f>+D5</f>
        <v>53550</v>
      </c>
      <c r="L24" s="6"/>
      <c r="M24" s="6"/>
      <c r="N24" s="6"/>
      <c r="O24" s="5">
        <f>SUM(C24:N24)</f>
        <v>437607</v>
      </c>
    </row>
    <row r="25" spans="2:15" x14ac:dyDescent="0.55000000000000004">
      <c r="C25" s="20">
        <f t="shared" ref="C25:J25" si="4">+C24/C23-1</f>
        <v>9.2893971864457026E-2</v>
      </c>
      <c r="D25" s="20">
        <f t="shared" si="4"/>
        <v>-1.5857243406616206E-2</v>
      </c>
      <c r="E25" s="20">
        <f t="shared" si="4"/>
        <v>1.4604631754642217E-3</v>
      </c>
      <c r="F25" s="20">
        <f t="shared" si="4"/>
        <v>-6.3887952664494652E-2</v>
      </c>
      <c r="G25" s="20">
        <f t="shared" si="4"/>
        <v>-9.2043851079995687E-2</v>
      </c>
      <c r="H25" s="20">
        <f t="shared" si="4"/>
        <v>-7.0003388171516745E-2</v>
      </c>
      <c r="I25" s="20">
        <f t="shared" si="4"/>
        <v>-6.903508241037748E-2</v>
      </c>
      <c r="J25" s="20">
        <f t="shared" si="4"/>
        <v>-5.9691596574979133E-2</v>
      </c>
      <c r="K25" s="20">
        <f>+K24/K23-1</f>
        <v>3.4043292718249685E-2</v>
      </c>
    </row>
    <row r="26" spans="2:15" x14ac:dyDescent="0.55000000000000004">
      <c r="C26" s="17">
        <f t="shared" ref="C26:K26" si="5">+C24/$G$5</f>
        <v>692298.3870967743</v>
      </c>
      <c r="D26" s="17">
        <f t="shared" si="5"/>
        <v>638978.49462365592</v>
      </c>
      <c r="E26" s="17">
        <f t="shared" si="5"/>
        <v>645161.29032258072</v>
      </c>
      <c r="F26" s="17">
        <f t="shared" si="5"/>
        <v>671962.36559139786</v>
      </c>
      <c r="G26" s="17">
        <f t="shared" si="5"/>
        <v>562163.97849462368</v>
      </c>
      <c r="H26" s="17">
        <f t="shared" si="5"/>
        <v>664072.58064516133</v>
      </c>
      <c r="I26" s="17">
        <f t="shared" si="5"/>
        <v>620255.37634408602</v>
      </c>
      <c r="J26" s="17">
        <f t="shared" si="5"/>
        <v>667163.97849462368</v>
      </c>
      <c r="K26" s="17">
        <f>+K24/$G$5</f>
        <v>719758.06451612909</v>
      </c>
    </row>
    <row r="27" spans="2:15" x14ac:dyDescent="0.55000000000000004">
      <c r="K27" s="17"/>
    </row>
    <row r="28" spans="2:15" ht="16.5" x14ac:dyDescent="0.6">
      <c r="B28" s="12" t="s">
        <v>0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2:15" x14ac:dyDescent="0.55000000000000004">
      <c r="B29" s="11" t="s">
        <v>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1" spans="2:15" x14ac:dyDescent="0.55000000000000004">
      <c r="B31" s="1" t="s">
        <v>2</v>
      </c>
      <c r="C31" s="2" t="s">
        <v>3</v>
      </c>
      <c r="D31" s="2" t="s">
        <v>4</v>
      </c>
      <c r="E31" s="2" t="s">
        <v>5</v>
      </c>
      <c r="F31" s="2" t="s">
        <v>6</v>
      </c>
      <c r="G31" s="2" t="s">
        <v>7</v>
      </c>
      <c r="H31" s="2" t="s">
        <v>8</v>
      </c>
      <c r="I31" s="2" t="s">
        <v>9</v>
      </c>
      <c r="J31" s="2" t="s">
        <v>10</v>
      </c>
      <c r="K31" s="2" t="s">
        <v>11</v>
      </c>
      <c r="L31" s="2" t="s">
        <v>12</v>
      </c>
      <c r="M31" s="2" t="s">
        <v>13</v>
      </c>
      <c r="N31" s="2" t="s">
        <v>14</v>
      </c>
      <c r="O31" s="2" t="s">
        <v>15</v>
      </c>
    </row>
    <row r="32" spans="2:15" x14ac:dyDescent="0.55000000000000004">
      <c r="B32" s="21">
        <v>2025</v>
      </c>
      <c r="C32" s="4">
        <v>56365</v>
      </c>
      <c r="D32" s="4">
        <v>58231</v>
      </c>
      <c r="E32" s="4">
        <v>55824</v>
      </c>
      <c r="F32" s="4">
        <v>63955</v>
      </c>
      <c r="G32" s="4">
        <v>59703</v>
      </c>
      <c r="H32" s="4">
        <v>57230</v>
      </c>
      <c r="I32" s="4">
        <v>52587</v>
      </c>
      <c r="J32" s="4">
        <v>54372</v>
      </c>
      <c r="K32" s="4">
        <v>49053</v>
      </c>
      <c r="L32" s="4">
        <v>47647</v>
      </c>
      <c r="M32" s="4">
        <v>48195</v>
      </c>
      <c r="N32" s="4">
        <v>64199</v>
      </c>
      <c r="O32" s="5">
        <f>SUM(C32:N32)</f>
        <v>667361</v>
      </c>
    </row>
    <row r="33" spans="2:15" x14ac:dyDescent="0.55000000000000004">
      <c r="B33" s="21">
        <v>2026</v>
      </c>
      <c r="C33" s="4">
        <v>38932</v>
      </c>
      <c r="D33" s="4">
        <v>40391</v>
      </c>
      <c r="E33" s="4">
        <v>40938</v>
      </c>
      <c r="F33" s="4">
        <v>37464</v>
      </c>
      <c r="G33" s="4">
        <v>44257</v>
      </c>
      <c r="H33" s="4">
        <v>43846</v>
      </c>
      <c r="I33" s="4">
        <v>45447</v>
      </c>
      <c r="J33" s="4">
        <v>43233</v>
      </c>
      <c r="K33" s="19">
        <f>+K32</f>
        <v>49053</v>
      </c>
      <c r="L33" s="6"/>
      <c r="M33" s="6"/>
      <c r="N33" s="6"/>
      <c r="O33" s="5">
        <f>SUM(C33:N33)</f>
        <v>383561</v>
      </c>
    </row>
    <row r="34" spans="2:15" x14ac:dyDescent="0.55000000000000004">
      <c r="C34" s="20">
        <f t="shared" ref="C34:J34" si="6">+C33/C32-1</f>
        <v>-0.30928767852390671</v>
      </c>
      <c r="D34" s="20">
        <f t="shared" si="6"/>
        <v>-0.30636602496951792</v>
      </c>
      <c r="E34" s="20">
        <f t="shared" si="6"/>
        <v>-0.26665950128976779</v>
      </c>
      <c r="F34" s="20">
        <f t="shared" si="6"/>
        <v>-0.41421311859901488</v>
      </c>
      <c r="G34" s="20">
        <f t="shared" si="6"/>
        <v>-0.25871396747232134</v>
      </c>
      <c r="H34" s="20">
        <f t="shared" si="6"/>
        <v>-0.23386335837847283</v>
      </c>
      <c r="I34" s="20">
        <f t="shared" si="6"/>
        <v>-0.13577500142620802</v>
      </c>
      <c r="J34" s="20">
        <f t="shared" si="6"/>
        <v>-0.20486647539174574</v>
      </c>
      <c r="K34" s="20">
        <f>+K33/K32-1</f>
        <v>0</v>
      </c>
    </row>
    <row r="35" spans="2:15" x14ac:dyDescent="0.55000000000000004">
      <c r="C35" s="17">
        <f t="shared" ref="C35:K35" si="7">+C33/$G$6</f>
        <v>499128.20512820513</v>
      </c>
      <c r="D35" s="17">
        <f t="shared" si="7"/>
        <v>517833.33333333331</v>
      </c>
      <c r="E35" s="17">
        <f t="shared" si="7"/>
        <v>524846.15384615387</v>
      </c>
      <c r="F35" s="17">
        <f t="shared" si="7"/>
        <v>480307.69230769231</v>
      </c>
      <c r="G35" s="17">
        <f t="shared" si="7"/>
        <v>567397.43589743588</v>
      </c>
      <c r="H35" s="17">
        <f t="shared" si="7"/>
        <v>562128.20512820513</v>
      </c>
      <c r="I35" s="17">
        <f t="shared" si="7"/>
        <v>582653.84615384613</v>
      </c>
      <c r="J35" s="17">
        <f t="shared" si="7"/>
        <v>554269.23076923075</v>
      </c>
      <c r="K35" s="17">
        <f>+K33/$G$6</f>
        <v>628884.61538461538</v>
      </c>
    </row>
    <row r="36" spans="2:15" x14ac:dyDescent="0.55000000000000004">
      <c r="K36" s="17"/>
    </row>
    <row r="37" spans="2:15" ht="16.5" x14ac:dyDescent="0.6">
      <c r="B37" s="12" t="s">
        <v>19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2:15" x14ac:dyDescent="0.55000000000000004">
      <c r="B38" s="11" t="s">
        <v>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40" spans="2:15" x14ac:dyDescent="0.55000000000000004">
      <c r="B40" s="1" t="s">
        <v>2</v>
      </c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  <c r="H40" s="2" t="s">
        <v>8</v>
      </c>
      <c r="I40" s="2" t="s">
        <v>9</v>
      </c>
      <c r="J40" s="2" t="s">
        <v>10</v>
      </c>
      <c r="K40" s="2" t="s">
        <v>11</v>
      </c>
      <c r="L40" s="2" t="s">
        <v>12</v>
      </c>
      <c r="M40" s="2" t="s">
        <v>13</v>
      </c>
      <c r="N40" s="2" t="s">
        <v>14</v>
      </c>
      <c r="O40" s="2" t="s">
        <v>15</v>
      </c>
    </row>
    <row r="41" spans="2:15" x14ac:dyDescent="0.55000000000000004">
      <c r="B41" s="21">
        <v>2025</v>
      </c>
      <c r="C41" s="4">
        <v>18297</v>
      </c>
      <c r="D41" s="4">
        <v>14718</v>
      </c>
      <c r="E41" s="4">
        <v>14330</v>
      </c>
      <c r="F41" s="4">
        <v>14284</v>
      </c>
      <c r="G41" s="4">
        <v>19399</v>
      </c>
      <c r="H41" s="4">
        <v>19657</v>
      </c>
      <c r="I41" s="4">
        <v>20560</v>
      </c>
      <c r="J41" s="4">
        <v>20075</v>
      </c>
      <c r="K41" s="4">
        <v>26533</v>
      </c>
      <c r="L41" s="4">
        <v>15339</v>
      </c>
      <c r="M41" s="4">
        <v>14162</v>
      </c>
      <c r="N41" s="4">
        <v>18874</v>
      </c>
      <c r="O41" s="5">
        <f>SUM(C41:N41)</f>
        <v>216228</v>
      </c>
    </row>
    <row r="42" spans="2:15" x14ac:dyDescent="0.55000000000000004">
      <c r="B42" s="21">
        <v>2026</v>
      </c>
      <c r="C42" s="4">
        <v>16022</v>
      </c>
      <c r="D42" s="4">
        <v>14060</v>
      </c>
      <c r="E42" s="4">
        <v>13406</v>
      </c>
      <c r="F42" s="4">
        <v>13107</v>
      </c>
      <c r="G42" s="4">
        <v>16281</v>
      </c>
      <c r="H42" s="4">
        <v>14798</v>
      </c>
      <c r="I42" s="4">
        <v>15948</v>
      </c>
      <c r="J42" s="4">
        <v>16449</v>
      </c>
      <c r="K42" s="19">
        <f>+D7</f>
        <v>17850</v>
      </c>
      <c r="L42" s="6"/>
      <c r="M42" s="6"/>
      <c r="N42" s="6"/>
      <c r="O42" s="5">
        <f>SUM(C42:N42)</f>
        <v>137921</v>
      </c>
    </row>
    <row r="43" spans="2:15" x14ac:dyDescent="0.55000000000000004">
      <c r="C43" s="20">
        <f t="shared" ref="C43:J43" si="8">+C42/C41-1</f>
        <v>-0.12433732305842493</v>
      </c>
      <c r="D43" s="20">
        <f t="shared" si="8"/>
        <v>-4.4707161299089582E-2</v>
      </c>
      <c r="E43" s="20">
        <f t="shared" si="8"/>
        <v>-6.4480111653873018E-2</v>
      </c>
      <c r="F43" s="20">
        <f t="shared" si="8"/>
        <v>-8.2399887986558396E-2</v>
      </c>
      <c r="G43" s="20">
        <f t="shared" si="8"/>
        <v>-0.1607299345327079</v>
      </c>
      <c r="H43" s="20">
        <f t="shared" si="8"/>
        <v>-0.24718929643384036</v>
      </c>
      <c r="I43" s="20">
        <f t="shared" si="8"/>
        <v>-0.2243190661478599</v>
      </c>
      <c r="J43" s="20">
        <f t="shared" si="8"/>
        <v>-0.1806226650062267</v>
      </c>
      <c r="K43" s="20">
        <f>+K42/K41-1</f>
        <v>-0.32725285493536349</v>
      </c>
    </row>
    <row r="44" spans="2:15" x14ac:dyDescent="0.55000000000000004">
      <c r="C44" s="17">
        <f t="shared" ref="C44:K44" si="9">+C42/$G$7</f>
        <v>215349.4623655914</v>
      </c>
      <c r="D44" s="17">
        <f t="shared" si="9"/>
        <v>188978.49462365592</v>
      </c>
      <c r="E44" s="17">
        <f t="shared" si="9"/>
        <v>180188.17204301077</v>
      </c>
      <c r="F44" s="17">
        <f t="shared" si="9"/>
        <v>176169.3548387097</v>
      </c>
      <c r="G44" s="17">
        <f t="shared" si="9"/>
        <v>218830.64516129033</v>
      </c>
      <c r="H44" s="17">
        <f t="shared" si="9"/>
        <v>198897.84946236562</v>
      </c>
      <c r="I44" s="17">
        <f t="shared" si="9"/>
        <v>214354.83870967742</v>
      </c>
      <c r="J44" s="17">
        <f t="shared" si="9"/>
        <v>221088.70967741936</v>
      </c>
      <c r="K44" s="17">
        <f>+K42/$G$7</f>
        <v>239919.3548387097</v>
      </c>
    </row>
  </sheetData>
  <mergeCells count="8">
    <mergeCell ref="B19:O19"/>
    <mergeCell ref="B20:O20"/>
    <mergeCell ref="B37:O37"/>
    <mergeCell ref="B38:O38"/>
    <mergeCell ref="B28:O28"/>
    <mergeCell ref="B29:O29"/>
    <mergeCell ref="B10:O10"/>
    <mergeCell ref="B11:O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>
      <pane xSplit="1" ySplit="4" topLeftCell="B5" activePane="bottomRight" state="frozen"/>
      <selection pane="topRight"/>
      <selection pane="bottomLeft"/>
      <selection pane="bottomRight" activeCell="N7" sqref="A1:N7"/>
    </sheetView>
  </sheetViews>
  <sheetFormatPr baseColWidth="10" defaultColWidth="8.83984375" defaultRowHeight="14.4" x14ac:dyDescent="0.55000000000000004"/>
  <cols>
    <col min="1" max="1" width="10" customWidth="1"/>
    <col min="2" max="13" width="9.47265625" customWidth="1"/>
    <col min="14" max="14" width="11" customWidth="1"/>
  </cols>
  <sheetData>
    <row r="1" spans="1:14" ht="16.5" x14ac:dyDescent="0.6">
      <c r="A1" s="12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55000000000000004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 x14ac:dyDescent="0.55000000000000004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 x14ac:dyDescent="0.55000000000000004">
      <c r="A5" s="3">
        <v>2025</v>
      </c>
      <c r="B5" s="4">
        <v>56365</v>
      </c>
      <c r="C5" s="4">
        <v>58231</v>
      </c>
      <c r="D5" s="4">
        <v>55824</v>
      </c>
      <c r="E5" s="4">
        <v>63955</v>
      </c>
      <c r="F5" s="4">
        <v>59703</v>
      </c>
      <c r="G5" s="4">
        <v>57230</v>
      </c>
      <c r="H5" s="4">
        <v>52587</v>
      </c>
      <c r="I5" s="4">
        <v>54372</v>
      </c>
      <c r="J5" s="4">
        <v>49053</v>
      </c>
      <c r="K5" s="4">
        <v>47647</v>
      </c>
      <c r="L5" s="4">
        <v>48195</v>
      </c>
      <c r="M5" s="4">
        <v>64199</v>
      </c>
      <c r="N5" s="5">
        <f>SUM(B5:M5)</f>
        <v>667361</v>
      </c>
    </row>
    <row r="6" spans="1:14" x14ac:dyDescent="0.55000000000000004">
      <c r="A6" s="3">
        <v>2026</v>
      </c>
      <c r="B6" s="4">
        <v>38932</v>
      </c>
      <c r="C6" s="4">
        <v>40391</v>
      </c>
      <c r="D6" s="4">
        <v>40938</v>
      </c>
      <c r="E6" s="4">
        <v>37464</v>
      </c>
      <c r="F6" s="4">
        <v>44257</v>
      </c>
      <c r="G6" s="4">
        <v>43846</v>
      </c>
      <c r="H6" s="4">
        <v>45447</v>
      </c>
      <c r="I6" s="4">
        <v>43233</v>
      </c>
      <c r="J6" s="6"/>
      <c r="K6" s="6"/>
      <c r="L6" s="6"/>
      <c r="M6" s="6"/>
      <c r="N6" s="5">
        <f>SUM(B6:M6)</f>
        <v>334508</v>
      </c>
    </row>
    <row r="7" spans="1:14" x14ac:dyDescent="0.55000000000000004">
      <c r="A7" s="7" t="s">
        <v>15</v>
      </c>
      <c r="B7" s="8">
        <f t="shared" ref="B7:N7" si="0">SUM(B5:B6)</f>
        <v>95297</v>
      </c>
      <c r="C7" s="8">
        <f t="shared" si="0"/>
        <v>98622</v>
      </c>
      <c r="D7" s="8">
        <f t="shared" si="0"/>
        <v>96762</v>
      </c>
      <c r="E7" s="8">
        <f t="shared" si="0"/>
        <v>101419</v>
      </c>
      <c r="F7" s="8">
        <f t="shared" si="0"/>
        <v>103960</v>
      </c>
      <c r="G7" s="8">
        <f t="shared" si="0"/>
        <v>101076</v>
      </c>
      <c r="H7" s="8">
        <f t="shared" si="0"/>
        <v>98034</v>
      </c>
      <c r="I7" s="8">
        <f t="shared" si="0"/>
        <v>97605</v>
      </c>
      <c r="J7" s="8">
        <f t="shared" si="0"/>
        <v>49053</v>
      </c>
      <c r="K7" s="8">
        <f t="shared" si="0"/>
        <v>47647</v>
      </c>
      <c r="L7" s="8">
        <f t="shared" si="0"/>
        <v>48195</v>
      </c>
      <c r="M7" s="8">
        <f t="shared" si="0"/>
        <v>64199</v>
      </c>
      <c r="N7" s="5">
        <f t="shared" si="0"/>
        <v>1001869</v>
      </c>
    </row>
    <row r="9" spans="1:14" x14ac:dyDescent="0.55000000000000004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>
      <pane xSplit="1" ySplit="4" topLeftCell="B5" activePane="bottomRight" state="frozen"/>
      <selection pane="topRight"/>
      <selection pane="bottomLeft"/>
      <selection pane="bottomRight" activeCell="N7" sqref="A1:N7"/>
    </sheetView>
  </sheetViews>
  <sheetFormatPr baseColWidth="10" defaultColWidth="8.83984375" defaultRowHeight="14.4" x14ac:dyDescent="0.55000000000000004"/>
  <cols>
    <col min="1" max="1" width="10" customWidth="1"/>
    <col min="2" max="13" width="9.47265625" customWidth="1"/>
    <col min="14" max="14" width="11" customWidth="1"/>
  </cols>
  <sheetData>
    <row r="1" spans="1:14" ht="16.5" x14ac:dyDescent="0.6">
      <c r="A1" s="12" t="s">
        <v>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55000000000000004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 x14ac:dyDescent="0.55000000000000004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 x14ac:dyDescent="0.55000000000000004">
      <c r="A5" s="3">
        <v>2025</v>
      </c>
      <c r="B5" s="4">
        <v>60390</v>
      </c>
      <c r="C5" s="4">
        <v>55814</v>
      </c>
      <c r="D5" s="4">
        <v>53601</v>
      </c>
      <c r="E5" s="4">
        <v>51105</v>
      </c>
      <c r="F5" s="4">
        <v>73890</v>
      </c>
      <c r="G5" s="4">
        <v>76598</v>
      </c>
      <c r="H5" s="4">
        <v>90518</v>
      </c>
      <c r="I5" s="4">
        <v>95938</v>
      </c>
      <c r="J5" s="4">
        <v>87981</v>
      </c>
      <c r="K5" s="4">
        <v>81206</v>
      </c>
      <c r="L5" s="4">
        <v>81088</v>
      </c>
      <c r="M5" s="4">
        <v>109172</v>
      </c>
      <c r="N5" s="5">
        <f>SUM(B5:M5)</f>
        <v>917301</v>
      </c>
    </row>
    <row r="6" spans="1:14" x14ac:dyDescent="0.55000000000000004">
      <c r="A6" s="3">
        <v>2026</v>
      </c>
      <c r="B6" s="4">
        <v>85119</v>
      </c>
      <c r="C6" s="4">
        <v>80566</v>
      </c>
      <c r="D6" s="4">
        <v>81657</v>
      </c>
      <c r="E6" s="4">
        <v>74209</v>
      </c>
      <c r="F6" s="4">
        <v>92605</v>
      </c>
      <c r="G6" s="4">
        <v>94773</v>
      </c>
      <c r="H6" s="4">
        <v>119624</v>
      </c>
      <c r="I6" s="4">
        <v>97604</v>
      </c>
      <c r="J6" s="6"/>
      <c r="K6" s="6"/>
      <c r="L6" s="6"/>
      <c r="M6" s="6"/>
      <c r="N6" s="5">
        <f>SUM(B6:M6)</f>
        <v>726157</v>
      </c>
    </row>
    <row r="7" spans="1:14" x14ac:dyDescent="0.55000000000000004">
      <c r="A7" s="7" t="s">
        <v>15</v>
      </c>
      <c r="B7" s="8">
        <f t="shared" ref="B7:N7" si="0">SUM(B5:B6)</f>
        <v>145509</v>
      </c>
      <c r="C7" s="8">
        <f t="shared" si="0"/>
        <v>136380</v>
      </c>
      <c r="D7" s="8">
        <f t="shared" si="0"/>
        <v>135258</v>
      </c>
      <c r="E7" s="8">
        <f t="shared" si="0"/>
        <v>125314</v>
      </c>
      <c r="F7" s="8">
        <f t="shared" si="0"/>
        <v>166495</v>
      </c>
      <c r="G7" s="8">
        <f t="shared" si="0"/>
        <v>171371</v>
      </c>
      <c r="H7" s="8">
        <f t="shared" si="0"/>
        <v>210142</v>
      </c>
      <c r="I7" s="8">
        <f t="shared" si="0"/>
        <v>193542</v>
      </c>
      <c r="J7" s="8">
        <f t="shared" si="0"/>
        <v>87981</v>
      </c>
      <c r="K7" s="8">
        <f t="shared" si="0"/>
        <v>81206</v>
      </c>
      <c r="L7" s="8">
        <f t="shared" si="0"/>
        <v>81088</v>
      </c>
      <c r="M7" s="8">
        <f t="shared" si="0"/>
        <v>109172</v>
      </c>
      <c r="N7" s="5">
        <f t="shared" si="0"/>
        <v>1643458</v>
      </c>
    </row>
    <row r="9" spans="1:14" x14ac:dyDescent="0.55000000000000004">
      <c r="A9" s="9" t="s">
        <v>17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</sheetData>
  <mergeCells count="3">
    <mergeCell ref="A9:N9"/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>
      <pane xSplit="1" ySplit="4" topLeftCell="B5" activePane="bottomRight" state="frozen"/>
      <selection pane="topRight"/>
      <selection pane="bottomLeft"/>
      <selection pane="bottomRight" activeCell="N7" sqref="A1:N7"/>
    </sheetView>
  </sheetViews>
  <sheetFormatPr baseColWidth="10" defaultColWidth="8.83984375" defaultRowHeight="14.4" x14ac:dyDescent="0.55000000000000004"/>
  <cols>
    <col min="1" max="1" width="10" customWidth="1"/>
    <col min="2" max="13" width="9.47265625" customWidth="1"/>
    <col min="14" max="14" width="11" customWidth="1"/>
  </cols>
  <sheetData>
    <row r="1" spans="1:14" ht="16.5" x14ac:dyDescent="0.6">
      <c r="A1" s="12" t="s">
        <v>18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55000000000000004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 x14ac:dyDescent="0.55000000000000004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 x14ac:dyDescent="0.55000000000000004">
      <c r="A5" s="3">
        <v>2025</v>
      </c>
      <c r="B5" s="4">
        <v>47129</v>
      </c>
      <c r="C5" s="4">
        <v>48306</v>
      </c>
      <c r="D5" s="4">
        <v>47930</v>
      </c>
      <c r="E5" s="4">
        <v>53406</v>
      </c>
      <c r="F5" s="4">
        <v>46065</v>
      </c>
      <c r="G5" s="4">
        <v>53126</v>
      </c>
      <c r="H5" s="4">
        <v>49569</v>
      </c>
      <c r="I5" s="4">
        <v>52788</v>
      </c>
      <c r="J5" s="4">
        <v>51787</v>
      </c>
      <c r="K5" s="4">
        <v>54733</v>
      </c>
      <c r="L5" s="4">
        <v>50713</v>
      </c>
      <c r="M5" s="4">
        <v>69193</v>
      </c>
      <c r="N5" s="5">
        <f>SUM(B5:M5)</f>
        <v>624745</v>
      </c>
    </row>
    <row r="6" spans="1:14" x14ac:dyDescent="0.55000000000000004">
      <c r="A6" s="3">
        <v>2026</v>
      </c>
      <c r="B6" s="4">
        <v>51507</v>
      </c>
      <c r="C6" s="4">
        <v>47540</v>
      </c>
      <c r="D6" s="4">
        <v>48000</v>
      </c>
      <c r="E6" s="4">
        <v>49994</v>
      </c>
      <c r="F6" s="4">
        <v>41825</v>
      </c>
      <c r="G6" s="4">
        <v>49407</v>
      </c>
      <c r="H6" s="4">
        <v>46147</v>
      </c>
      <c r="I6" s="4">
        <v>49637</v>
      </c>
      <c r="J6" s="6"/>
      <c r="K6" s="6"/>
      <c r="L6" s="6"/>
      <c r="M6" s="6"/>
      <c r="N6" s="5">
        <f>SUM(B6:M6)</f>
        <v>384057</v>
      </c>
    </row>
    <row r="7" spans="1:14" x14ac:dyDescent="0.55000000000000004">
      <c r="A7" s="7" t="s">
        <v>15</v>
      </c>
      <c r="B7" s="8">
        <f t="shared" ref="B7:N7" si="0">SUM(B5:B6)</f>
        <v>98636</v>
      </c>
      <c r="C7" s="8">
        <f t="shared" si="0"/>
        <v>95846</v>
      </c>
      <c r="D7" s="8">
        <f t="shared" si="0"/>
        <v>95930</v>
      </c>
      <c r="E7" s="8">
        <f t="shared" si="0"/>
        <v>103400</v>
      </c>
      <c r="F7" s="8">
        <f t="shared" si="0"/>
        <v>87890</v>
      </c>
      <c r="G7" s="8">
        <f t="shared" si="0"/>
        <v>102533</v>
      </c>
      <c r="H7" s="8">
        <f t="shared" si="0"/>
        <v>95716</v>
      </c>
      <c r="I7" s="8">
        <f t="shared" si="0"/>
        <v>102425</v>
      </c>
      <c r="J7" s="8">
        <f t="shared" si="0"/>
        <v>51787</v>
      </c>
      <c r="K7" s="8">
        <f t="shared" si="0"/>
        <v>54733</v>
      </c>
      <c r="L7" s="8">
        <f t="shared" si="0"/>
        <v>50713</v>
      </c>
      <c r="M7" s="8">
        <f t="shared" si="0"/>
        <v>69193</v>
      </c>
      <c r="N7" s="5">
        <f t="shared" si="0"/>
        <v>1008802</v>
      </c>
    </row>
    <row r="9" spans="1:14" x14ac:dyDescent="0.55000000000000004">
      <c r="A9" s="9" t="s">
        <v>17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</sheetData>
  <mergeCells count="3">
    <mergeCell ref="A9:N9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>
      <pane xSplit="1" ySplit="4" topLeftCell="B5" activePane="bottomRight" state="frozen"/>
      <selection pane="topRight"/>
      <selection pane="bottomLeft"/>
      <selection pane="bottomRight" activeCell="N7" sqref="A1:N7"/>
    </sheetView>
  </sheetViews>
  <sheetFormatPr baseColWidth="10" defaultColWidth="8.83984375" defaultRowHeight="14.4" x14ac:dyDescent="0.55000000000000004"/>
  <cols>
    <col min="1" max="1" width="10" customWidth="1"/>
    <col min="2" max="13" width="9.47265625" customWidth="1"/>
    <col min="14" max="14" width="11" customWidth="1"/>
  </cols>
  <sheetData>
    <row r="1" spans="1:14" ht="16.5" x14ac:dyDescent="0.6">
      <c r="A1" s="12" t="s">
        <v>19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55000000000000004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14" x14ac:dyDescent="0.55000000000000004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 x14ac:dyDescent="0.55000000000000004">
      <c r="A5" s="3">
        <v>2025</v>
      </c>
      <c r="B5" s="4">
        <v>18297</v>
      </c>
      <c r="C5" s="4">
        <v>14718</v>
      </c>
      <c r="D5" s="4">
        <v>14330</v>
      </c>
      <c r="E5" s="4">
        <v>14284</v>
      </c>
      <c r="F5" s="4">
        <v>19399</v>
      </c>
      <c r="G5" s="4">
        <v>19657</v>
      </c>
      <c r="H5" s="4">
        <v>20560</v>
      </c>
      <c r="I5" s="4">
        <v>20075</v>
      </c>
      <c r="J5" s="4">
        <v>26533</v>
      </c>
      <c r="K5" s="4">
        <v>15339</v>
      </c>
      <c r="L5" s="4">
        <v>14162</v>
      </c>
      <c r="M5" s="4">
        <v>18874</v>
      </c>
      <c r="N5" s="5">
        <f>SUM(B5:M5)</f>
        <v>216228</v>
      </c>
    </row>
    <row r="6" spans="1:14" x14ac:dyDescent="0.55000000000000004">
      <c r="A6" s="3">
        <v>2026</v>
      </c>
      <c r="B6" s="4">
        <v>16022</v>
      </c>
      <c r="C6" s="4">
        <v>14060</v>
      </c>
      <c r="D6" s="4">
        <v>13406</v>
      </c>
      <c r="E6" s="4">
        <v>13107</v>
      </c>
      <c r="F6" s="4">
        <v>16281</v>
      </c>
      <c r="G6" s="4">
        <v>14798</v>
      </c>
      <c r="H6" s="4">
        <v>15948</v>
      </c>
      <c r="I6" s="4">
        <v>16449</v>
      </c>
      <c r="J6" s="6"/>
      <c r="K6" s="6"/>
      <c r="L6" s="6"/>
      <c r="M6" s="6"/>
      <c r="N6" s="5">
        <f>SUM(B6:M6)</f>
        <v>120071</v>
      </c>
    </row>
    <row r="7" spans="1:14" x14ac:dyDescent="0.55000000000000004">
      <c r="A7" s="7" t="s">
        <v>15</v>
      </c>
      <c r="B7" s="8">
        <f t="shared" ref="B7:N7" si="0">SUM(B5:B6)</f>
        <v>34319</v>
      </c>
      <c r="C7" s="8">
        <f t="shared" si="0"/>
        <v>28778</v>
      </c>
      <c r="D7" s="8">
        <f t="shared" si="0"/>
        <v>27736</v>
      </c>
      <c r="E7" s="8">
        <f t="shared" si="0"/>
        <v>27391</v>
      </c>
      <c r="F7" s="8">
        <f t="shared" si="0"/>
        <v>35680</v>
      </c>
      <c r="G7" s="8">
        <f t="shared" si="0"/>
        <v>34455</v>
      </c>
      <c r="H7" s="8">
        <f t="shared" si="0"/>
        <v>36508</v>
      </c>
      <c r="I7" s="8">
        <f t="shared" si="0"/>
        <v>36524</v>
      </c>
      <c r="J7" s="8">
        <f t="shared" si="0"/>
        <v>26533</v>
      </c>
      <c r="K7" s="8">
        <f t="shared" si="0"/>
        <v>15339</v>
      </c>
      <c r="L7" s="8">
        <f t="shared" si="0"/>
        <v>14162</v>
      </c>
      <c r="M7" s="8">
        <f t="shared" si="0"/>
        <v>18874</v>
      </c>
      <c r="N7" s="5">
        <f t="shared" si="0"/>
        <v>336299</v>
      </c>
    </row>
    <row r="9" spans="1:14" x14ac:dyDescent="0.55000000000000004">
      <c r="A9" s="9" t="s">
        <v>20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</sheetData>
  <mergeCells count="3">
    <mergeCell ref="A9:N9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Cristal 650</vt:lpstr>
      <vt:lpstr>Pilsen Callao 630</vt:lpstr>
      <vt:lpstr>San Juan 620</vt:lpstr>
      <vt:lpstr>Cusqueña 620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Zavala</cp:lastModifiedBy>
  <dcterms:created xsi:type="dcterms:W3CDTF">2026-09-01T18:45:30Z</dcterms:created>
  <dcterms:modified xsi:type="dcterms:W3CDTF">2026-09-01T18:54:56Z</dcterms:modified>
</cp:coreProperties>
</file>